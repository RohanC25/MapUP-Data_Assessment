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MapUP\"/>
    </mc:Choice>
  </mc:AlternateContent>
  <xr:revisionPtr revIDLastSave="0" documentId="13_ncr:1_{BB1AFE6A-6912-45E0-924D-7D9C0FDA6860}" xr6:coauthVersionLast="47" xr6:coauthVersionMax="47" xr10:uidLastSave="{00000000-0000-0000-0000-000000000000}"/>
  <bookViews>
    <workbookView xWindow="-120" yWindow="-120" windowWidth="20730" windowHeight="1116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C22" i="19" a="1"/>
  <c r="C22" i="19" s="1"/>
  <c r="H42" i="1"/>
  <c r="C30" i="18"/>
  <c r="D30" i="18"/>
  <c r="E30" i="18"/>
  <c r="F30" i="18"/>
  <c r="B30" i="18"/>
  <c r="C29" i="18"/>
  <c r="D29" i="18"/>
  <c r="E29" i="18"/>
  <c r="F29" i="18"/>
  <c r="B29" i="18"/>
  <c r="D28" i="18"/>
  <c r="E28" i="18"/>
  <c r="F28" i="18"/>
  <c r="C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F6" i="18"/>
  <c r="E6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<sst xmlns="http://schemas.openxmlformats.org/spreadsheetml/2006/main" count="407" uniqueCount="184">
  <si>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</si>
  <si>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</si>
  <si>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</si>
  <si>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</si>
  <si>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</si>
  <si>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</si>
  <si>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</si>
  <si>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</si>
  <si>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</si>
  <si>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</si>
  <si>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</si>
  <si>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</si>
  <si>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</si>
  <si>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</si>
  <si>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</si>
  <si>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</si>
  <si>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</si>
  <si>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</si>
  <si>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</si>
  <si>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</si>
  <si>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</si>
  <si>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</si>
  <si>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</si>
  <si>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</si>
  <si>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</si>
  <si>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</si>
  <si>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</si>
  <si>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</si>
  <si>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</si>
  <si>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</si>
  <si>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</si>
  <si>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</si>
  <si>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</si>
  <si>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</si>
  <si>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</si>
  <si>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</si>
  <si>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</si>
  <si>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</si>
  <si>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</si>
  <si>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</si>
  <si>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</si>
  <si>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</si>
  <si>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</si>
  <si>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</si>
  <si>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</si>
  <si>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</si>
  <si>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</si>
  <si>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</si>
  <si>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</si>
  <si>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</si>
  <si>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</si>
  <si>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</si>
  <si>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</si>
  <si>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</si>
  <si>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</si>
  <si>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</si>
  <si>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</si>
  <si>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</si>
  <si>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</si>
  <si>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</si>
  <si>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</si>
  <si>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</si>
  <si>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</si>
  <si>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</si>
  <si>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</si>
  <si>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</si>
  <si>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</si>
  <si>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</si>
  <si>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</si>
  <si>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</si>
  <si>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</si>
  <si>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</si>
  <si>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</si>
  <si>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</si>
  <si>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</si>
  <si>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</si>
  <si>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</si>
  <si>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</si>
  <si>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</si>
  <si>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</si>
  <si>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</si>
  <si>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</si>
  <si>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</si>
  <si>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</si>
  <si>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</si>
  <si>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</si>
  <si>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</si>
  <si>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</si>
  <si>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</si>
  <si>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</si>
  <si>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</si>
  <si>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</si>
  <si>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</si>
  <si>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</si>
  <si>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</si>
  <si>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</si>
  <si>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</si>
  <si>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</si>
  <si>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</si>
  <si>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</si>
  <si>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</si>
  <si>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</si>
  <si>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</si>
  <si>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</si>
  <si>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</si>
  <si>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</si>
  <si>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</si>
  <si>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</si>
  <si>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</si>
  <si>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</si>
  <si>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</si>
  <si>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</si>
  <si>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</si>
  <si>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</si>
  <si>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</si>
  <si>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</si>
  <si>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</si>
  <si>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</si>
  <si>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</si>
  <si>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</si>
  <si>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</si>
  <si>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</si>
  <si>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</si>
  <si>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</si>
  <si>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</si>
  <si>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</si>
  <si>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</si>
  <si>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</si>
  <si>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</si>
  <si>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</si>
  <si>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</si>
  <si>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</si>
  <si>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</si>
  <si>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</si>
  <si>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</si>
  <si>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</si>
  <si>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</si>
  <si>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</si>
  <si>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</si>
  <si>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</si>
  <si>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</si>
  <si>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</si>
  <si>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</si>
  <si>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</si>
  <si>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</si>
  <si>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</si>
  <si>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</si>
  <si>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</si>
  <si>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</si>
  <si>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</si>
  <si>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</si>
  <si>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</si>
  <si>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</si>
  <si>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</si>
  <si>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</si>
  <si>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</si>
  <si>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</si>
  <si>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</si>
  <si>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</si>
  <si>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</si>
  <si>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</si>
  <si>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</si>
  <si>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</si>
  <si>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</si>
  <si>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</si>
  <si>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</si>
  <si>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</si>
  <si>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</si>
  <si>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</si>
  <si>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</si>
  <si>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</si>
  <si>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</si>
  <si>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</si>
  <si>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</si>
  <si>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</si>
  <si>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</si>
  <si>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</si>
  <si>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SUMIF(H2:H40, "&gt;20",H2:H40)</t>
  </si>
  <si>
    <t>Functionality Used is Text to Column</t>
  </si>
  <si>
    <t>Firstly Selected all values from table _A (A15:A54) then in Data tab on ribbon select text to columns choose delimiter then click next select (other "-") go to next and choose the destination from (B16:F54) and click Finish.</t>
  </si>
  <si>
    <t>SUM(IFNA(C12:C21,20))</t>
  </si>
  <si>
    <t>Firstly we have to substitute #N/A by 20 and then sum of total, here IFNA is used to replace #N/A with 20, this formula say If #N/A present in the given range replace it with 20 and then the outer formula of sum gives total sum after replacing the #N/A with 20.</t>
  </si>
  <si>
    <t>=INDEX($B$10:$J$18,MATCH(VLOOKUP($A23,$M$9:$N$18,2,0),$B$9:$J$9,0),MATCH(VLOOKUP($B23,$M$9:$N$18,2,0),$A$10:$A$18,0))</t>
  </si>
  <si>
    <t>Index formula having syntax (array, row number, column number) Firstly we have to use index with array(B10:J18 and freeze it), for row number and column number look for values from table_c with columns name_1 and name_2 in table_b using vlookup with lookup value (A23 and B23 freeze only column), for table array(tabel_b freeze), with column index 2 (Name) with exact match, then we have to match the output first with the row of table_A (from B9:J9 and freeze it) and secondly column (from A10:A18 and freeze it).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</si>
</sst>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74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4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2" fontId="3" fillId="5" borderId="1" xfId="0" applyNumberFormat="1" applyFont="1" applyFill="1" applyBorder="1"/>
    <xf numFmtId="0" fontId="14" fillId="0" borderId="0" xfId="0" quotePrefix="1" applyFont="1"/>
    <xf numFmtId="174" fontId="3" fillId="0" borderId="0" xfId="0" applyNumberFormat="1" applyFont="1"/>
    <xf numFmtId="0" fontId="8" fillId="0" borderId="0" xfId="0" quotePrefix="1" applyFont="1"/>
    <xf numFmtId="0" fontId="15" fillId="0" borderId="0" xfId="0" applyFont="1" applyAlignment="1">
      <alignment horizontal="left"/>
    </xf>
    <xf numFmtId="0" fontId="15" fillId="0" borderId="0" xfId="0" applyFont="1" applyAlignment="1">
      <alignment horizontal="left" wrapText="1"/>
    </xf>
    <xf numFmtId="0" fontId="3" fillId="0" borderId="0" xfId="0" quotePrefix="1" applyFont="1"/>
    <xf numFmtId="0" fontId="3" fillId="0" borderId="0" xfId="0" applyFont="1" applyAlignment="1">
      <alignment horizontal="left" wrapText="1"/>
    </xf>
    <xf numFmtId="0" fontId="8" fillId="0" borderId="8" xfId="0" applyFont="1" applyBorder="1"/>
    <xf numFmtId="0" fontId="3" fillId="0" borderId="0" xfId="0" quotePrefix="1" applyFont="1" applyAlignment="1">
      <alignment horizontal="left"/>
    </xf>
    <xf numFmtId="0" fontId="8" fillId="0" borderId="0" xfId="0" applyFont="1" applyAlignment="1">
      <alignment horizontal="left" vertical="center"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2" sqref="A2"/>
    </sheetView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7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4" t="s">
        <v>171</v>
      </c>
      <c r="B9" s="25" t="s">
        <v>169</v>
      </c>
    </row>
    <row r="10" spans="1:3" x14ac:dyDescent="0.2">
      <c r="A10" s="33" t="s">
        <v>172</v>
      </c>
      <c r="B10" s="35">
        <v>25</v>
      </c>
    </row>
    <row r="11" spans="1:3" x14ac:dyDescent="0.2">
      <c r="A11" s="33" t="s">
        <v>55</v>
      </c>
      <c r="B11" s="35">
        <v>30</v>
      </c>
    </row>
    <row r="12" spans="1:3" x14ac:dyDescent="0.2">
      <c r="A12" s="33" t="s">
        <v>56</v>
      </c>
      <c r="B12" s="35">
        <v>10</v>
      </c>
    </row>
    <row r="13" spans="1:3" x14ac:dyDescent="0.2">
      <c r="A13" s="33" t="s">
        <v>85</v>
      </c>
      <c r="B13" s="35">
        <v>20</v>
      </c>
    </row>
    <row r="14" spans="1:3" x14ac:dyDescent="0.2">
      <c r="A14" s="33" t="s">
        <v>98</v>
      </c>
      <c r="B14" s="35">
        <v>40</v>
      </c>
    </row>
    <row r="15" spans="1:3" x14ac:dyDescent="0.2">
      <c r="A15" s="36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zoomScaleNormal="100" workbookViewId="0">
      <pane ySplit="1" topLeftCell="A2" activePane="bottomLeft" state="frozen"/>
      <selection pane="bottomLeft" activeCell="X40" sqref="X40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3320312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s="3" customFormat="1" ht="14.85" customHeight="1" x14ac:dyDescent="0.2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2" spans="1:24" x14ac:dyDescent="0.25">
      <c r="H42" s="1">
        <f>SUMIF(H2:H40, "&gt;20",H2:H40)</f>
        <v>1473.0000000000002</v>
      </c>
    </row>
  </sheetData>
  <conditionalFormatting sqref="G2:W40">
    <cfRule type="expression" dxfId="1" priority="2">
      <formula>G2:W40 = 0</formula>
    </cfRule>
    <cfRule type="expression" dxfId="0" priority="1">
      <formula>G2:W40 = 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F2" sqref="F2"/>
    </sheetView>
  </sheetViews>
  <sheetFormatPr defaultColWidth="11" defaultRowHeight="15" x14ac:dyDescent="0.25"/>
  <cols>
    <col min="1" max="1" width="8.33203125" style="1" bestFit="1" customWidth="1"/>
    <col min="2" max="2" width="71.5" style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46"/>
      <c r="E4" s="1">
        <v>5</v>
      </c>
    </row>
    <row r="5" spans="1:5" x14ac:dyDescent="0.25">
      <c r="A5" s="6">
        <v>3</v>
      </c>
      <c r="B5" s="2" t="s">
        <v>104</v>
      </c>
      <c r="C5" s="44" t="s">
        <v>177</v>
      </c>
      <c r="E5" s="1">
        <v>10</v>
      </c>
    </row>
    <row r="6" spans="1:5" x14ac:dyDescent="0.25">
      <c r="A6" s="6">
        <v>4</v>
      </c>
      <c r="B6" s="2" t="s">
        <v>106</v>
      </c>
      <c r="C6" s="46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F6" sqref="F6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39" customFormat="1" ht="21" x14ac:dyDescent="0.35">
      <c r="A1" s="40" t="s">
        <v>55</v>
      </c>
      <c r="B1" s="39" t="s">
        <v>164</v>
      </c>
    </row>
    <row r="2" spans="1:7" s="39" customFormat="1" ht="21" x14ac:dyDescent="0.35">
      <c r="B2" s="39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162</v>
      </c>
      <c r="B4" s="1"/>
      <c r="C4" s="1"/>
      <c r="D4" s="1"/>
      <c r="E4" s="1"/>
      <c r="F4" s="1"/>
      <c r="G4" s="1"/>
    </row>
    <row r="5" spans="1:7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5">
      <c r="A6" s="7" t="s">
        <v>40</v>
      </c>
      <c r="B6" s="11">
        <f>VLOOKUP($A6,Dataset!$A$1:$X$40,7,FALSE)</f>
        <v>2.7</v>
      </c>
      <c r="C6" s="11">
        <f>VLOOKUP($A6,Dataset!$A$1:$X$40,14,FALSE)</f>
        <v>7.6</v>
      </c>
      <c r="D6" s="11">
        <f>VLOOKUP($A6,Dataset!$A$1:$X$40,18,FALSE)</f>
        <v>4.2</v>
      </c>
      <c r="E6" s="11">
        <f>VLOOKUP($A6,Dataset!$A$1:$X$40,20,FALSE)</f>
        <v>8.9</v>
      </c>
      <c r="F6" s="11">
        <f>VLOOKUP($A6,Dataset!$A$1:$X$40,22,FALSE)</f>
        <v>4.2</v>
      </c>
    </row>
    <row r="7" spans="1:7" ht="15" x14ac:dyDescent="0.25">
      <c r="A7" s="7" t="s">
        <v>4</v>
      </c>
      <c r="B7" s="11">
        <f>VLOOKUP($A7,Dataset!$A$1:$X$40,7,FALSE)</f>
        <v>2.7</v>
      </c>
      <c r="C7" s="11">
        <f>VLOOKUP($A7,Dataset!$A$1:$X$40,14,FALSE)</f>
        <v>7.6</v>
      </c>
      <c r="D7" s="11">
        <f>VLOOKUP($A7,Dataset!$A$1:$X$40,18,FALSE)</f>
        <v>4.2</v>
      </c>
      <c r="E7" s="11">
        <f>VLOOKUP($A7,Dataset!$A$1:$X$40,20,FALSE)</f>
        <v>8.9</v>
      </c>
      <c r="F7" s="11">
        <f>VLOOKUP($A7,Dataset!$A$1:$X$40,22,FALSE)</f>
        <v>4.2</v>
      </c>
    </row>
    <row r="8" spans="1:7" ht="15" x14ac:dyDescent="0.25">
      <c r="A8" s="7" t="s">
        <v>7</v>
      </c>
      <c r="B8" s="11">
        <f>VLOOKUP($A8,Dataset!$A$1:$X$40,7,FALSE)</f>
        <v>3.6</v>
      </c>
      <c r="C8" s="11">
        <f>VLOOKUP($A8,Dataset!$A$1:$X$40,14,FALSE)</f>
        <v>11.1</v>
      </c>
      <c r="D8" s="11">
        <f>VLOOKUP($A8,Dataset!$A$1:$X$40,18,FALSE)</f>
        <v>5.8</v>
      </c>
      <c r="E8" s="11">
        <f>VLOOKUP($A8,Dataset!$A$1:$X$40,20,FALSE)</f>
        <v>12.2</v>
      </c>
      <c r="F8" s="11">
        <f>VLOOKUP($A8,Dataset!$A$1:$X$40,22,FALSE)</f>
        <v>5.8</v>
      </c>
    </row>
    <row r="9" spans="1:7" ht="15" x14ac:dyDescent="0.25">
      <c r="A9" s="7" t="s">
        <v>8</v>
      </c>
      <c r="B9" s="11">
        <f>VLOOKUP($A9,Dataset!$A$1:$X$40,7,FALSE)</f>
        <v>4.9000000000000004</v>
      </c>
      <c r="C9" s="11">
        <f>VLOOKUP($A9,Dataset!$A$1:$X$40,14,FALSE)</f>
        <v>13.3</v>
      </c>
      <c r="D9" s="11">
        <f>VLOOKUP($A9,Dataset!$A$1:$X$40,18,FALSE)</f>
        <v>8.1</v>
      </c>
      <c r="E9" s="11">
        <f>VLOOKUP($A9,Dataset!$A$1:$X$40,20,FALSE)</f>
        <v>17</v>
      </c>
      <c r="F9" s="11">
        <f>VLOOKUP($A9,Dataset!$A$1:$X$40,22,FALSE)</f>
        <v>8.1</v>
      </c>
    </row>
    <row r="10" spans="1:7" ht="15" x14ac:dyDescent="0.25">
      <c r="A10" s="7" t="s">
        <v>11</v>
      </c>
      <c r="B10" s="11">
        <f>VLOOKUP($A10,Dataset!$A$1:$X$40,7,FALSE)</f>
        <v>9.4</v>
      </c>
      <c r="C10" s="11">
        <f>VLOOKUP($A10,Dataset!$A$1:$X$40,14,FALSE)</f>
        <v>28.3</v>
      </c>
      <c r="D10" s="11">
        <f>VLOOKUP($A10,Dataset!$A$1:$X$40,18,FALSE)</f>
        <v>16.100000000000001</v>
      </c>
      <c r="E10" s="11">
        <f>VLOOKUP($A10,Dataset!$A$1:$X$40,20,FALSE)</f>
        <v>32.799999999999997</v>
      </c>
      <c r="F10" s="11">
        <f>VLOOKUP($A10,Dataset!$A$1:$X$40,22,FALSE)</f>
        <v>16.100000000000001</v>
      </c>
    </row>
    <row r="11" spans="1:7" ht="15" x14ac:dyDescent="0.25">
      <c r="A11" s="7" t="s">
        <v>12</v>
      </c>
      <c r="B11" s="11">
        <f>VLOOKUP($A11,Dataset!$A$1:$X$40,7,FALSE)</f>
        <v>11.6</v>
      </c>
      <c r="C11" s="11">
        <f>VLOOKUP($A11,Dataset!$A$1:$X$40,14,FALSE)</f>
        <v>35.200000000000003</v>
      </c>
      <c r="D11" s="11">
        <f>VLOOKUP($A11,Dataset!$A$1:$X$40,18,FALSE)</f>
        <v>21.3</v>
      </c>
      <c r="E11" s="11">
        <f>VLOOKUP($A11,Dataset!$A$1:$X$40,20,FALSE)</f>
        <v>43</v>
      </c>
      <c r="F11" s="11">
        <f>VLOOKUP($A11,Dataset!$A$1:$X$40,22,FALSE)</f>
        <v>21.3</v>
      </c>
    </row>
    <row r="12" spans="1:7" ht="15" x14ac:dyDescent="0.25">
      <c r="A12" s="7" t="s">
        <v>14</v>
      </c>
      <c r="B12" s="11">
        <f>VLOOKUP($A12,Dataset!$A$1:$X$40,7,FALSE)</f>
        <v>18.399999999999999</v>
      </c>
      <c r="C12" s="11">
        <f>VLOOKUP($A12,Dataset!$A$1:$X$40,14,FALSE)</f>
        <v>55.6</v>
      </c>
      <c r="D12" s="11">
        <f>VLOOKUP($A12,Dataset!$A$1:$X$40,18,FALSE)</f>
        <v>33.799999999999997</v>
      </c>
      <c r="E12" s="11">
        <f>VLOOKUP($A12,Dataset!$A$1:$X$40,20,FALSE)</f>
        <v>67.900000000000006</v>
      </c>
      <c r="F12" s="11">
        <f>VLOOKUP($A12,Dataset!$A$1:$X$40,22,FALSE)</f>
        <v>33.799999999999997</v>
      </c>
    </row>
    <row r="13" spans="1:7" ht="15" x14ac:dyDescent="0.25">
      <c r="A13" s="7" t="s">
        <v>15</v>
      </c>
      <c r="B13" s="11">
        <f>VLOOKUP($A13,Dataset!$A$1:$X$40,7,FALSE)</f>
        <v>0</v>
      </c>
      <c r="C13" s="11">
        <f>VLOOKUP($A13,Dataset!$A$1:$X$40,14,FALSE)</f>
        <v>0</v>
      </c>
      <c r="D13" s="11">
        <f>VLOOKUP($A13,Dataset!$A$1:$X$40,18,FALSE)</f>
        <v>0</v>
      </c>
      <c r="E13" s="11">
        <f>VLOOKUP($A13,Dataset!$A$1:$X$40,20,FALSE)</f>
        <v>0</v>
      </c>
      <c r="F13" s="11">
        <f>VLOOKUP($A13,Dataset!$A$1:$X$40,22,FALSE)</f>
        <v>0</v>
      </c>
    </row>
    <row r="14" spans="1:7" ht="15" x14ac:dyDescent="0.25">
      <c r="A14" s="7" t="s">
        <v>16</v>
      </c>
      <c r="B14" s="11">
        <f>VLOOKUP($A14,Dataset!$A$1:$X$40,7,FALSE)</f>
        <v>21.9</v>
      </c>
      <c r="C14" s="11">
        <f>VLOOKUP($A14,Dataset!$A$1:$X$40,14,FALSE)</f>
        <v>61.5</v>
      </c>
      <c r="D14" s="11">
        <f>VLOOKUP($A14,Dataset!$A$1:$X$40,18,FALSE)</f>
        <v>40.1</v>
      </c>
      <c r="E14" s="11">
        <f>VLOOKUP($A14,Dataset!$A$1:$X$40,20,FALSE)</f>
        <v>76.599999999999994</v>
      </c>
      <c r="F14" s="11">
        <f>VLOOKUP($A14,Dataset!$A$1:$X$40,22,FALSE)</f>
        <v>40.1</v>
      </c>
    </row>
    <row r="15" spans="1:7" ht="15" x14ac:dyDescent="0.25">
      <c r="A15" s="7" t="s">
        <v>18</v>
      </c>
      <c r="B15" s="11">
        <f>VLOOKUP($A15,Dataset!$A$1:$X$40,7,FALSE)</f>
        <v>26.8</v>
      </c>
      <c r="C15" s="11">
        <f>VLOOKUP($A15,Dataset!$A$1:$X$40,14,FALSE)</f>
        <v>79.599999999999994</v>
      </c>
      <c r="D15" s="11">
        <f>VLOOKUP($A15,Dataset!$A$1:$X$40,18,FALSE)</f>
        <v>47.9</v>
      </c>
      <c r="E15" s="11">
        <f>VLOOKUP($A15,Dataset!$A$1:$X$40,20,FALSE)</f>
        <v>96.8</v>
      </c>
      <c r="F15" s="11">
        <f>VLOOKUP($A15,Dataset!$A$1:$X$40,22,FALSE)</f>
        <v>47.9</v>
      </c>
    </row>
    <row r="16" spans="1:7" ht="15" x14ac:dyDescent="0.25">
      <c r="A16" s="7" t="s">
        <v>20</v>
      </c>
      <c r="B16" s="11">
        <f>VLOOKUP($A16,Dataset!$A$1:$X$40,7,FALSE)</f>
        <v>28.5</v>
      </c>
      <c r="C16" s="11">
        <f>VLOOKUP($A16,Dataset!$A$1:$X$40,14,FALSE)</f>
        <v>85.4</v>
      </c>
      <c r="D16" s="11">
        <f>VLOOKUP($A16,Dataset!$A$1:$X$40,18,FALSE)</f>
        <v>52.3</v>
      </c>
      <c r="E16" s="11">
        <f>VLOOKUP($A16,Dataset!$A$1:$X$40,20,FALSE)</f>
        <v>106.1</v>
      </c>
      <c r="F16" s="11">
        <f>VLOOKUP($A16,Dataset!$A$1:$X$40,22,FALSE)</f>
        <v>52.3</v>
      </c>
    </row>
    <row r="17" spans="1:6" ht="15" x14ac:dyDescent="0.25">
      <c r="A17" s="7" t="s">
        <v>22</v>
      </c>
      <c r="B17" s="11">
        <f>VLOOKUP($A17,Dataset!$A$1:$X$40,7,FALSE)</f>
        <v>30.7</v>
      </c>
      <c r="C17" s="11">
        <f>VLOOKUP($A17,Dataset!$A$1:$X$40,14,FALSE)</f>
        <v>92.1</v>
      </c>
      <c r="D17" s="11">
        <f>VLOOKUP($A17,Dataset!$A$1:$X$40,18,FALSE)</f>
        <v>57</v>
      </c>
      <c r="E17" s="11">
        <f>VLOOKUP($A17,Dataset!$A$1:$X$40,20,FALSE)</f>
        <v>115.1</v>
      </c>
      <c r="F17" s="11">
        <f>VLOOKUP($A17,Dataset!$A$1:$X$40,22,FALSE)</f>
        <v>57</v>
      </c>
    </row>
    <row r="18" spans="1:6" ht="15" x14ac:dyDescent="0.25">
      <c r="A18" s="7" t="s">
        <v>23</v>
      </c>
      <c r="B18" s="11">
        <f>VLOOKUP($A18,Dataset!$A$1:$X$40,7,FALSE)</f>
        <v>33.799999999999997</v>
      </c>
      <c r="C18" s="11">
        <f>VLOOKUP($A18,Dataset!$A$1:$X$40,14,FALSE)</f>
        <v>101.3</v>
      </c>
      <c r="D18" s="11">
        <f>VLOOKUP($A18,Dataset!$A$1:$X$40,18,FALSE)</f>
        <v>61.4</v>
      </c>
      <c r="E18" s="11">
        <f>VLOOKUP($A18,Dataset!$A$1:$X$40,20,FALSE)</f>
        <v>124.4</v>
      </c>
      <c r="F18" s="11">
        <f>VLOOKUP($A18,Dataset!$A$1:$X$40,22,FALSE)</f>
        <v>61.4</v>
      </c>
    </row>
    <row r="19" spans="1:6" ht="15" x14ac:dyDescent="0.25">
      <c r="A19" s="7" t="s">
        <v>24</v>
      </c>
      <c r="B19" s="11">
        <f>VLOOKUP($A19,Dataset!$A$1:$X$40,7,FALSE)</f>
        <v>34.700000000000003</v>
      </c>
      <c r="C19" s="11">
        <f>VLOOKUP($A19,Dataset!$A$1:$X$40,14,FALSE)</f>
        <v>106.1</v>
      </c>
      <c r="D19" s="11">
        <f>VLOOKUP($A19,Dataset!$A$1:$X$40,18,FALSE)</f>
        <v>63.6</v>
      </c>
      <c r="E19" s="11">
        <f>VLOOKUP($A19,Dataset!$A$1:$X$40,20,FALSE)</f>
        <v>128.6</v>
      </c>
      <c r="F19" s="11">
        <f>VLOOKUP($A19,Dataset!$A$1:$X$40,22,FALSE)</f>
        <v>63.6</v>
      </c>
    </row>
    <row r="20" spans="1:6" ht="15" x14ac:dyDescent="0.25">
      <c r="A20" s="7" t="s">
        <v>28</v>
      </c>
      <c r="B20" s="11">
        <f>VLOOKUP($A20,Dataset!$A$1:$X$40,7,FALSE)</f>
        <v>0</v>
      </c>
      <c r="C20" s="11">
        <f>VLOOKUP($A20,Dataset!$A$1:$X$40,14,FALSE)</f>
        <v>0</v>
      </c>
      <c r="D20" s="11">
        <f>VLOOKUP($A20,Dataset!$A$1:$X$40,18,FALSE)</f>
        <v>0</v>
      </c>
      <c r="E20" s="11">
        <f>VLOOKUP($A20,Dataset!$A$1:$X$40,20,FALSE)</f>
        <v>0</v>
      </c>
      <c r="F20" s="11">
        <f>VLOOKUP($A20,Dataset!$A$1:$X$40,22,FALSE)</f>
        <v>0</v>
      </c>
    </row>
    <row r="21" spans="1:6" ht="15" x14ac:dyDescent="0.25">
      <c r="A21" s="7" t="s">
        <v>57</v>
      </c>
      <c r="B21" s="11">
        <f>VLOOKUP($A21,Dataset!$A$1:$X$40,7,FALSE)</f>
        <v>41.3</v>
      </c>
      <c r="C21" s="11">
        <f>VLOOKUP($A21,Dataset!$A$1:$X$40,14,FALSE)</f>
        <v>124.4</v>
      </c>
      <c r="D21" s="11">
        <f>VLOOKUP($A21,Dataset!$A$1:$X$40,18,FALSE)</f>
        <v>75</v>
      </c>
      <c r="E21" s="11">
        <f>VLOOKUP($A21,Dataset!$A$1:$X$40,20,FALSE)</f>
        <v>151.5</v>
      </c>
      <c r="F21" s="11">
        <f>VLOOKUP($A21,Dataset!$A$1:$X$40,22,FALSE)</f>
        <v>75</v>
      </c>
    </row>
    <row r="22" spans="1:6" ht="15" x14ac:dyDescent="0.25">
      <c r="A22" s="7" t="s">
        <v>58</v>
      </c>
      <c r="B22" s="11">
        <f>VLOOKUP($A22,Dataset!$A$1:$X$40,7,FALSE)</f>
        <v>-1</v>
      </c>
      <c r="C22" s="11">
        <f>VLOOKUP($A22,Dataset!$A$1:$X$40,14,FALSE)</f>
        <v>-1</v>
      </c>
      <c r="D22" s="11">
        <f>VLOOKUP($A22,Dataset!$A$1:$X$40,18,FALSE)</f>
        <v>-1</v>
      </c>
      <c r="E22" s="11">
        <f>VLOOKUP($A22,Dataset!$A$1:$X$40,20,FALSE)</f>
        <v>-1</v>
      </c>
      <c r="F22" s="11">
        <f>VLOOKUP($A22,Dataset!$A$1:$X$40,22,FALSE)</f>
        <v>-1</v>
      </c>
    </row>
    <row r="23" spans="1:6" ht="15" x14ac:dyDescent="0.25">
      <c r="A23" s="7" t="s">
        <v>31</v>
      </c>
      <c r="B23" s="11">
        <f>VLOOKUP($A23,Dataset!$A$1:$X$40,7,FALSE)</f>
        <v>45</v>
      </c>
      <c r="C23" s="11">
        <f>VLOOKUP($A23,Dataset!$A$1:$X$40,14,FALSE)</f>
        <v>133.4</v>
      </c>
      <c r="D23" s="11">
        <f>VLOOKUP($A23,Dataset!$A$1:$X$40,18,FALSE)</f>
        <v>79.400000000000006</v>
      </c>
      <c r="E23" s="11">
        <f>VLOOKUP($A23,Dataset!$A$1:$X$40,20,FALSE)</f>
        <v>160.9</v>
      </c>
      <c r="F23" s="11">
        <f>VLOOKUP($A23,Dataset!$A$1:$X$40,22,FALSE)</f>
        <v>79.400000000000006</v>
      </c>
    </row>
    <row r="24" spans="1:6" ht="15" x14ac:dyDescent="0.25">
      <c r="A24" s="7" t="s">
        <v>32</v>
      </c>
      <c r="B24" s="11">
        <f>VLOOKUP($A24,Dataset!$A$1:$X$40,7,FALSE)</f>
        <v>-1</v>
      </c>
      <c r="C24" s="11">
        <f>VLOOKUP($A24,Dataset!$A$1:$X$40,14,FALSE)</f>
        <v>-1</v>
      </c>
      <c r="D24" s="11">
        <f>VLOOKUP($A24,Dataset!$A$1:$X$40,18,FALSE)</f>
        <v>-1</v>
      </c>
      <c r="E24" s="11">
        <f>VLOOKUP($A24,Dataset!$A$1:$X$40,20,FALSE)</f>
        <v>-1</v>
      </c>
      <c r="F24" s="11">
        <f>VLOOKUP($A24,Dataset!$A$1:$X$40,22,FALSE)</f>
        <v>-1</v>
      </c>
    </row>
    <row r="25" spans="1:6" ht="15" x14ac:dyDescent="0.25">
      <c r="A25" s="7" t="s">
        <v>34</v>
      </c>
      <c r="B25" s="11">
        <f>VLOOKUP($A25,Dataset!$A$1:$X$40,7,FALSE)</f>
        <v>43.3</v>
      </c>
      <c r="C25" s="11">
        <f>VLOOKUP($A25,Dataset!$A$1:$X$40,14,FALSE)</f>
        <v>128.6</v>
      </c>
      <c r="D25" s="11">
        <f>VLOOKUP($A25,Dataset!$A$1:$X$40,18,FALSE)</f>
        <v>79.400000000000006</v>
      </c>
      <c r="E25" s="11">
        <f>VLOOKUP($A25,Dataset!$A$1:$X$40,20,FALSE)</f>
        <v>160.9</v>
      </c>
      <c r="F25" s="11">
        <f>VLOOKUP($A25,Dataset!$A$1:$X$40,22,FALSE)</f>
        <v>79.400000000000006</v>
      </c>
    </row>
    <row r="26" spans="1:6" ht="15" x14ac:dyDescent="0.25">
      <c r="A26" s="7" t="s">
        <v>37</v>
      </c>
      <c r="B26" s="11">
        <f>VLOOKUP($A26,Dataset!$A$1:$X$40,7,FALSE)</f>
        <v>49.1</v>
      </c>
      <c r="C26" s="11">
        <f>VLOOKUP($A26,Dataset!$A$1:$X$40,14,FALSE)</f>
        <v>146.80000000000001</v>
      </c>
      <c r="D26" s="11">
        <f>VLOOKUP($A26,Dataset!$A$1:$X$40,18,FALSE)</f>
        <v>90.9</v>
      </c>
      <c r="E26" s="11">
        <f>VLOOKUP($A26,Dataset!$A$1:$X$40,20,FALSE)</f>
        <v>183.5</v>
      </c>
      <c r="F26" s="11">
        <f>VLOOKUP($A26,Dataset!$A$1:$X$40,22,FALSE)</f>
        <v>90.9</v>
      </c>
    </row>
    <row r="27" spans="1:6" ht="15" x14ac:dyDescent="0.25">
      <c r="A27" s="7" t="s">
        <v>39</v>
      </c>
      <c r="B27" s="11">
        <f>VLOOKUP($A27,Dataset!$A$1:$X$40,7,FALSE)</f>
        <v>51.8</v>
      </c>
      <c r="C27" s="11">
        <f>VLOOKUP($A27,Dataset!$A$1:$X$40,14,FALSE)</f>
        <v>156.4</v>
      </c>
      <c r="D27" s="11">
        <f>VLOOKUP($A27,Dataset!$A$1:$X$40,18,FALSE)</f>
        <v>93.1</v>
      </c>
      <c r="E27" s="11">
        <f>VLOOKUP($A27,Dataset!$A$1:$X$40,20,FALSE)</f>
        <v>188.1</v>
      </c>
      <c r="F27" s="11">
        <f>VLOOKUP($A27,Dataset!$A$1:$X$40,22,FALSE)</f>
        <v>93.1</v>
      </c>
    </row>
    <row r="28" spans="1:6" ht="15" x14ac:dyDescent="0.25">
      <c r="A28" s="18" t="s">
        <v>82</v>
      </c>
      <c r="B28" s="30">
        <f>MIN(B6:B27)</f>
        <v>-1</v>
      </c>
      <c r="C28" s="30">
        <f>MIN(C6:C27)</f>
        <v>-1</v>
      </c>
      <c r="D28" s="30">
        <f t="shared" ref="D28:F28" si="0">MIN(D6:D27)</f>
        <v>-1</v>
      </c>
      <c r="E28" s="30">
        <f t="shared" si="0"/>
        <v>-1</v>
      </c>
      <c r="F28" s="30">
        <f t="shared" si="0"/>
        <v>-1</v>
      </c>
    </row>
    <row r="29" spans="1:6" ht="15" x14ac:dyDescent="0.25">
      <c r="A29" s="18" t="s">
        <v>83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5" x14ac:dyDescent="0.25">
      <c r="A30" s="18" t="s">
        <v>84</v>
      </c>
      <c r="B30" s="43">
        <f>AVERAGE(B6:B27)</f>
        <v>20.827272727272728</v>
      </c>
      <c r="C30" s="43">
        <f t="shared" ref="C30:F30" si="2">AVERAGE(C6:C27)</f>
        <v>62.377272727272725</v>
      </c>
      <c r="D30" s="43">
        <f t="shared" si="2"/>
        <v>37.800000000000004</v>
      </c>
      <c r="E30" s="43">
        <f t="shared" si="2"/>
        <v>76.418181818181822</v>
      </c>
      <c r="F30" s="43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O54"/>
  <sheetViews>
    <sheetView zoomScaleNormal="100" workbookViewId="0">
      <selection activeCell="H11" sqref="H11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5" s="39" customFormat="1" ht="21" x14ac:dyDescent="0.35">
      <c r="A1" s="40" t="s">
        <v>56</v>
      </c>
      <c r="B1" s="39" t="s">
        <v>174</v>
      </c>
    </row>
    <row r="2" spans="1:15" customFormat="1" ht="12.75" x14ac:dyDescent="0.2"/>
    <row r="3" spans="1:15" s="2" customFormat="1" x14ac:dyDescent="0.25">
      <c r="B3" s="1"/>
    </row>
    <row r="4" spans="1:15" s="2" customFormat="1" x14ac:dyDescent="0.25">
      <c r="B4" s="1" t="s">
        <v>151</v>
      </c>
    </row>
    <row r="5" spans="1:15" ht="18.75" x14ac:dyDescent="0.3">
      <c r="A5" s="41" t="s">
        <v>53</v>
      </c>
      <c r="B5" s="47" t="s">
        <v>178</v>
      </c>
      <c r="C5" s="47"/>
      <c r="D5" s="47"/>
      <c r="E5" s="47"/>
      <c r="F5" s="47"/>
      <c r="G5" s="47"/>
      <c r="H5" s="47"/>
      <c r="I5" s="47"/>
      <c r="J5" s="47"/>
      <c r="K5" s="47"/>
    </row>
    <row r="6" spans="1:15" ht="18.75" customHeight="1" x14ac:dyDescent="0.3">
      <c r="A6" s="41" t="s">
        <v>153</v>
      </c>
      <c r="B6" s="48" t="s">
        <v>179</v>
      </c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</row>
    <row r="7" spans="1:15" ht="18.75" x14ac:dyDescent="0.3">
      <c r="A7" s="41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</row>
    <row r="9" spans="1:15" ht="23.25" x14ac:dyDescent="0.35">
      <c r="A9" s="17" t="s">
        <v>165</v>
      </c>
      <c r="I9" s="2"/>
      <c r="J9" s="2"/>
    </row>
    <row r="10" spans="1:15" x14ac:dyDescent="0.2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5" x14ac:dyDescent="0.25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5" ht="23.25" x14ac:dyDescent="0.35">
      <c r="A14" s="17" t="s">
        <v>162</v>
      </c>
    </row>
    <row r="15" spans="1:15" x14ac:dyDescent="0.2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5" x14ac:dyDescent="0.25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25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25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25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25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25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25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25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25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25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25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25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25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25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25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25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25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25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25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25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25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25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25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25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25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25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25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25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25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25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25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25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25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25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25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25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25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25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25">
      <c r="A54" s="8" t="s">
        <v>120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mergeCells count="2">
    <mergeCell ref="B5:K5"/>
    <mergeCell ref="B6:O7"/>
  </mergeCells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M22"/>
  <sheetViews>
    <sheetView zoomScaleNormal="100" workbookViewId="0">
      <selection activeCell="C22" sqref="C22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13" ht="21" x14ac:dyDescent="0.35">
      <c r="A1" s="40" t="s">
        <v>85</v>
      </c>
      <c r="B1" s="39" t="s">
        <v>167</v>
      </c>
    </row>
    <row r="2" spans="1:13" ht="18.75" x14ac:dyDescent="0.3">
      <c r="B2" s="38" t="s">
        <v>166</v>
      </c>
    </row>
    <row r="5" spans="1:13" ht="15" x14ac:dyDescent="0.25">
      <c r="B5" s="1" t="s">
        <v>151</v>
      </c>
    </row>
    <row r="6" spans="1:13" ht="15" x14ac:dyDescent="0.25">
      <c r="A6" s="3" t="s">
        <v>53</v>
      </c>
      <c r="B6" s="49" t="s">
        <v>180</v>
      </c>
    </row>
    <row r="7" spans="1:13" ht="15" x14ac:dyDescent="0.25">
      <c r="A7" s="3" t="s">
        <v>153</v>
      </c>
      <c r="B7" s="50" t="s">
        <v>181</v>
      </c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</row>
    <row r="8" spans="1:13" x14ac:dyDescent="0.2"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</row>
    <row r="10" spans="1:13" ht="23.25" x14ac:dyDescent="0.35">
      <c r="A10" s="17" t="s">
        <v>162</v>
      </c>
    </row>
    <row r="11" spans="1:13" ht="15" x14ac:dyDescent="0.25">
      <c r="A11" s="31" t="s">
        <v>86</v>
      </c>
      <c r="B11" s="16" t="s">
        <v>87</v>
      </c>
      <c r="C11" s="16" t="s">
        <v>88</v>
      </c>
    </row>
    <row r="12" spans="1:13" ht="15" x14ac:dyDescent="0.25">
      <c r="A12" s="31">
        <v>44927</v>
      </c>
      <c r="B12" s="16" t="s">
        <v>59</v>
      </c>
      <c r="C12" s="16">
        <v>200</v>
      </c>
    </row>
    <row r="13" spans="1:13" ht="15" x14ac:dyDescent="0.25">
      <c r="A13" s="31">
        <v>44928</v>
      </c>
      <c r="B13" s="16" t="s">
        <v>60</v>
      </c>
      <c r="C13" s="16" t="e">
        <v>#N/A</v>
      </c>
    </row>
    <row r="14" spans="1:13" ht="15" x14ac:dyDescent="0.25">
      <c r="A14" s="31">
        <v>44929</v>
      </c>
      <c r="B14" s="16" t="s">
        <v>61</v>
      </c>
      <c r="C14" s="16">
        <v>50</v>
      </c>
    </row>
    <row r="15" spans="1:13" ht="15" x14ac:dyDescent="0.25">
      <c r="A15" s="31">
        <v>44930</v>
      </c>
      <c r="B15" s="16" t="s">
        <v>62</v>
      </c>
      <c r="C15" s="16" t="e">
        <v>#N/A</v>
      </c>
    </row>
    <row r="16" spans="1:13" ht="15" x14ac:dyDescent="0.25">
      <c r="A16" s="31">
        <v>44931</v>
      </c>
      <c r="B16" s="16" t="s">
        <v>63</v>
      </c>
      <c r="C16" s="16">
        <v>10</v>
      </c>
    </row>
    <row r="17" spans="1:3" ht="15" x14ac:dyDescent="0.25">
      <c r="A17" s="31">
        <v>44932</v>
      </c>
      <c r="B17" s="16" t="s">
        <v>154</v>
      </c>
      <c r="C17" s="16">
        <v>150</v>
      </c>
    </row>
    <row r="18" spans="1:3" ht="15" x14ac:dyDescent="0.25">
      <c r="A18" s="31">
        <v>44933</v>
      </c>
      <c r="B18" s="16" t="s">
        <v>155</v>
      </c>
      <c r="C18" s="16">
        <v>80</v>
      </c>
    </row>
    <row r="19" spans="1:3" ht="15" x14ac:dyDescent="0.25">
      <c r="A19" s="31">
        <v>44934</v>
      </c>
      <c r="B19" s="16" t="s">
        <v>156</v>
      </c>
      <c r="C19" s="16" t="e">
        <v>#N/A</v>
      </c>
    </row>
    <row r="20" spans="1:3" ht="15" x14ac:dyDescent="0.25">
      <c r="A20" s="31">
        <v>44935</v>
      </c>
      <c r="B20" s="16" t="s">
        <v>157</v>
      </c>
      <c r="C20" s="16">
        <v>30</v>
      </c>
    </row>
    <row r="21" spans="1:3" ht="15" x14ac:dyDescent="0.25">
      <c r="A21" s="31">
        <v>44936</v>
      </c>
      <c r="B21" s="16" t="s">
        <v>158</v>
      </c>
      <c r="C21" s="16" t="e">
        <v>#N/A</v>
      </c>
    </row>
    <row r="22" spans="1:3" ht="15" x14ac:dyDescent="0.25">
      <c r="B22" s="16" t="s">
        <v>159</v>
      </c>
      <c r="C22" s="24" cm="1">
        <f t="array" ref="C22">SUM(_xlfn.IFNA(C12:C21,20))</f>
        <v>600</v>
      </c>
    </row>
  </sheetData>
  <mergeCells count="1">
    <mergeCell ref="B7:M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Q35"/>
  <sheetViews>
    <sheetView tabSelected="1" zoomScaleNormal="100" workbookViewId="0">
      <selection activeCell="C23" sqref="C23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7" ht="21" x14ac:dyDescent="0.35">
      <c r="A1" s="40" t="s">
        <v>98</v>
      </c>
      <c r="B1" s="39" t="s">
        <v>175</v>
      </c>
    </row>
    <row r="3" spans="1:17" ht="15" x14ac:dyDescent="0.25">
      <c r="B3" s="1" t="s">
        <v>151</v>
      </c>
    </row>
    <row r="4" spans="1:17" ht="18.75" x14ac:dyDescent="0.3">
      <c r="A4" s="41" t="s">
        <v>53</v>
      </c>
      <c r="B4" s="1"/>
      <c r="C4" s="52" t="s">
        <v>182</v>
      </c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8.75" customHeight="1" x14ac:dyDescent="0.3">
      <c r="A5" s="41" t="s">
        <v>153</v>
      </c>
      <c r="B5" s="1"/>
      <c r="C5" s="53" t="s">
        <v>183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5" x14ac:dyDescent="0.25">
      <c r="A6" s="3"/>
      <c r="B6" s="1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  <row r="7" spans="1:17" x14ac:dyDescent="0.2"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</row>
    <row r="8" spans="1:17" ht="23.25" x14ac:dyDescent="0.35">
      <c r="A8" s="17" t="s">
        <v>162</v>
      </c>
      <c r="M8" s="17" t="s">
        <v>163</v>
      </c>
    </row>
    <row r="9" spans="1:17" ht="15" x14ac:dyDescent="0.2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7" ht="15" x14ac:dyDescent="0.2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7" ht="15" x14ac:dyDescent="0.2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7" ht="15" x14ac:dyDescent="0.2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7" ht="15" x14ac:dyDescent="0.2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7" ht="15" x14ac:dyDescent="0.2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7" ht="15" x14ac:dyDescent="0.2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7" ht="15" x14ac:dyDescent="0.2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" x14ac:dyDescent="0.2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" x14ac:dyDescent="0.2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25" x14ac:dyDescent="0.35">
      <c r="A21" s="17" t="s">
        <v>168</v>
      </c>
    </row>
    <row r="22" spans="1:14" ht="15" x14ac:dyDescent="0.25">
      <c r="A22" s="13" t="s">
        <v>100</v>
      </c>
      <c r="B22" s="16" t="s">
        <v>101</v>
      </c>
      <c r="C22" s="15" t="s">
        <v>102</v>
      </c>
    </row>
    <row r="23" spans="1:14" ht="15" x14ac:dyDescent="0.25">
      <c r="A23" s="7">
        <v>10100</v>
      </c>
      <c r="B23" s="11">
        <v>10102</v>
      </c>
      <c r="C23" s="42">
        <f>INDEX($B$10:$J$18,MATCH(VLOOKUP($A23,$M$9:$N$18,2,0),$B$9:$J$9,0),MATCH(VLOOKUP($B23,$M$9:$N$18,2,0),$A$10:$A$18,0))</f>
        <v>95</v>
      </c>
    </row>
    <row r="24" spans="1:14" ht="15" x14ac:dyDescent="0.25">
      <c r="A24" s="7">
        <v>10100</v>
      </c>
      <c r="B24" s="11">
        <v>10104</v>
      </c>
      <c r="C24" s="42">
        <f t="shared" ref="C24:C35" si="0">INDEX($B$10:$J$18,MATCH(VLOOKUP($A24,$M$9:$N$18,2,0),$B$9:$J$9,0),MATCH(VLOOKUP($B24,$M$9:$N$18,2,0),$A$10:$A$18,0))</f>
        <v>-1</v>
      </c>
    </row>
    <row r="25" spans="1:14" ht="15" x14ac:dyDescent="0.25">
      <c r="A25" s="7">
        <v>10108</v>
      </c>
      <c r="B25" s="11">
        <v>10102</v>
      </c>
      <c r="C25" s="42">
        <f t="shared" si="0"/>
        <v>160</v>
      </c>
    </row>
    <row r="26" spans="1:14" ht="15" x14ac:dyDescent="0.25">
      <c r="A26" s="7">
        <v>10100</v>
      </c>
      <c r="B26" s="11">
        <v>10106</v>
      </c>
      <c r="C26" s="42">
        <f t="shared" si="0"/>
        <v>185</v>
      </c>
    </row>
    <row r="27" spans="1:14" ht="15" x14ac:dyDescent="0.25">
      <c r="A27" s="7">
        <v>10108</v>
      </c>
      <c r="B27" s="11">
        <v>10110</v>
      </c>
      <c r="C27" s="42">
        <f t="shared" si="0"/>
        <v>50</v>
      </c>
    </row>
    <row r="28" spans="1:14" ht="15" x14ac:dyDescent="0.25">
      <c r="A28" s="7">
        <v>10102</v>
      </c>
      <c r="B28" s="11">
        <v>10104</v>
      </c>
      <c r="C28" s="42">
        <f t="shared" si="0"/>
        <v>-1</v>
      </c>
    </row>
    <row r="29" spans="1:14" ht="15" x14ac:dyDescent="0.25">
      <c r="A29" s="7">
        <v>10106</v>
      </c>
      <c r="B29" s="11">
        <v>10108</v>
      </c>
      <c r="C29" s="42">
        <f t="shared" si="0"/>
        <v>70</v>
      </c>
    </row>
    <row r="30" spans="1:14" ht="15" x14ac:dyDescent="0.25">
      <c r="A30" s="7">
        <v>10102</v>
      </c>
      <c r="B30" s="11">
        <v>10106</v>
      </c>
      <c r="C30" s="42">
        <f t="shared" si="0"/>
        <v>90</v>
      </c>
    </row>
    <row r="31" spans="1:14" ht="15" x14ac:dyDescent="0.25">
      <c r="A31" s="7">
        <v>10110</v>
      </c>
      <c r="B31" s="11">
        <v>10114</v>
      </c>
      <c r="C31" s="42">
        <f t="shared" si="0"/>
        <v>180</v>
      </c>
    </row>
    <row r="32" spans="1:14" ht="15" x14ac:dyDescent="0.25">
      <c r="A32" s="7">
        <v>10104</v>
      </c>
      <c r="B32" s="11">
        <v>10106</v>
      </c>
      <c r="C32" s="42">
        <f t="shared" si="0"/>
        <v>60</v>
      </c>
    </row>
    <row r="33" spans="1:3" ht="15" x14ac:dyDescent="0.25">
      <c r="A33" s="7">
        <v>10110</v>
      </c>
      <c r="B33" s="11">
        <v>10112</v>
      </c>
      <c r="C33" s="42">
        <f t="shared" si="0"/>
        <v>115</v>
      </c>
    </row>
    <row r="34" spans="1:3" ht="15" x14ac:dyDescent="0.25">
      <c r="A34" s="7">
        <v>10100</v>
      </c>
      <c r="B34" s="11">
        <v>10114</v>
      </c>
      <c r="C34" s="42">
        <f t="shared" si="0"/>
        <v>480</v>
      </c>
    </row>
    <row r="35" spans="1:3" ht="15" x14ac:dyDescent="0.25">
      <c r="A35" s="8">
        <v>10112</v>
      </c>
      <c r="B35" s="12">
        <v>10116</v>
      </c>
      <c r="C35" s="51">
        <f t="shared" si="0"/>
        <v>105</v>
      </c>
    </row>
  </sheetData>
  <mergeCells count="2">
    <mergeCell ref="C4:Q4"/>
    <mergeCell ref="C5:Q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Lenovo</cp:lastModifiedBy>
  <cp:lastPrinted>2023-12-09T07:29:17Z</cp:lastPrinted>
  <dcterms:created xsi:type="dcterms:W3CDTF">2015-02-10T17:33:11Z</dcterms:created>
  <dcterms:modified xsi:type="dcterms:W3CDTF">2023-12-09T12:09:21Z</dcterms:modified>
</cp:coreProperties>
</file>